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10D8C80-CB3C-46EB-BC40-900542263DAA}" xr6:coauthVersionLast="47" xr6:coauthVersionMax="47" xr10:uidLastSave="{00000000-0000-0000-0000-000000000000}"/>
  <bookViews>
    <workbookView xWindow="-110" yWindow="-110" windowWidth="19420" windowHeight="11020" activeTab="2" xr2:uid="{535391CD-BD75-4C4A-B5B7-2F40DA9A07D4}"/>
  </bookViews>
  <sheets>
    <sheet name="BAI2" sheetId="1" r:id="rId1"/>
    <sheet name="BAI1" sheetId="2" r:id="rId2"/>
    <sheet name="BAI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3" l="1"/>
  <c r="D9" i="3"/>
  <c r="D7" i="3"/>
  <c r="B4" i="3"/>
  <c r="B3" i="3"/>
</calcChain>
</file>

<file path=xl/sharedStrings.xml><?xml version="1.0" encoding="utf-8"?>
<sst xmlns="http://schemas.openxmlformats.org/spreadsheetml/2006/main" count="57" uniqueCount="40">
  <si>
    <t xml:space="preserve">Danh mục </t>
  </si>
  <si>
    <t xml:space="preserve">số lượng </t>
  </si>
  <si>
    <t xml:space="preserve">Đơn vị </t>
  </si>
  <si>
    <t xml:space="preserve">số người tham gia </t>
  </si>
  <si>
    <t xml:space="preserve">người </t>
  </si>
  <si>
    <t xml:space="preserve">số ngày tham gia </t>
  </si>
  <si>
    <t xml:space="preserve">ngày </t>
  </si>
  <si>
    <t>số phòng khách sạn</t>
  </si>
  <si>
    <t>phòng đơn</t>
  </si>
  <si>
    <t>phòng đôi</t>
  </si>
  <si>
    <t>phòng ba</t>
  </si>
  <si>
    <t>phòng</t>
  </si>
  <si>
    <t>Lựa chọn dịch vụ khác</t>
  </si>
  <si>
    <t>Hướng dẫn viên</t>
  </si>
  <si>
    <t>Bảo hiểm du lịch</t>
  </si>
  <si>
    <t>Quay, dựng clip trọn gói</t>
  </si>
  <si>
    <t>Đi lại trọn gói</t>
  </si>
  <si>
    <t xml:space="preserve">Quý khách hàng nhập vào các thông tin sau để tính báo giá </t>
  </si>
  <si>
    <t>Các bảng đơn giá đầu vào</t>
  </si>
  <si>
    <t>GIÁ DỊCH VỤ PHÒNG KHÁCH SẠN</t>
  </si>
  <si>
    <t>Loại phòng</t>
  </si>
  <si>
    <t>Phòng đơn</t>
  </si>
  <si>
    <t>Phòng đôi</t>
  </si>
  <si>
    <t>Phòng ba</t>
  </si>
  <si>
    <t>Đơn giá (đ)</t>
  </si>
  <si>
    <t>BẢNG GIÁ DỊCH VỤ KHÁC</t>
  </si>
  <si>
    <t>Tên dịch vụ</t>
  </si>
  <si>
    <t>Đơn vị</t>
  </si>
  <si>
    <t>Người/ngày</t>
  </si>
  <si>
    <t>Bảo hiểm trọn gói</t>
  </si>
  <si>
    <t>Chuyến</t>
  </si>
  <si>
    <t>Khách</t>
  </si>
  <si>
    <t>DỰ TOÁN KINH PHÍ</t>
  </si>
  <si>
    <t>Danh mục</t>
  </si>
  <si>
    <t>Số lượng/lựa chọn</t>
  </si>
  <si>
    <t>Tổng tiền (đ)</t>
  </si>
  <si>
    <t>Số người tham gia</t>
  </si>
  <si>
    <t>Thời lượng tham quan</t>
  </si>
  <si>
    <t>Số phòng khách sạn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</si>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</sst>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3"/>
      <color theme="1"/>
      <name val="Times New Roman"/>
      <family val="2"/>
    </font>
    <font>
      <sz val="13"/>
      <color theme="1"/>
      <name val="Times New Roman"/>
      <family val="2"/>
    </font>
    <font>
      <sz val="13"/>
      <color rgb="FFFF0000"/>
      <name val="Times New Roman"/>
      <family val="2"/>
    </font>
    <font>
      <b/>
      <sz val="13"/>
      <color theme="1"/>
      <name val="Times New Roman"/>
      <family val="1"/>
    </font>
    <font>
      <b/>
      <sz val="13"/>
      <color rgb="FFFF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3" fillId="3" borderId="0" xfId="0" applyFont="1" applyFill="1"/>
    <xf numFmtId="0" fontId="2" fillId="0" borderId="0" xfId="0" applyFont="1" applyAlignment="1">
      <alignment horizontal="center"/>
    </xf>
    <xf numFmtId="0" fontId="4" fillId="0" borderId="0" xfId="0" applyFont="1"/>
    <xf numFmtId="0" fontId="1" fillId="2" borderId="1" xfId="1" applyBorder="1"/>
    <xf numFmtId="0" fontId="0" fillId="4" borderId="1" xfId="0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3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3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9" xfId="0" applyNumberFormat="1" applyBorder="1" applyAlignment="1">
      <alignment horizontal="center"/>
    </xf>
    <xf numFmtId="0" fontId="0" fillId="6" borderId="1" xfId="0" applyFill="1" applyBorder="1"/>
    <xf numFmtId="0" fontId="0" fillId="7" borderId="1" xfId="0" applyFill="1" applyBorder="1"/>
    <xf numFmtId="0" fontId="0" fillId="5" borderId="1" xfId="0" applyFill="1" applyBorder="1"/>
  </cellXfs>
  <cellStyles count="2">
    <cellStyle name="20% - Accent1" xfId="1" builtinId="30"/>
    <cellStyle name="Normal" xfId="0" builtinId="0"/>
  </cellStyles>
  <dxfs count="14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fmlaLink="C10" lockText="1"/>
</file>

<file path=xl/ctrlProps/ctrlProp2.xml><?xml version="1.0" encoding="utf-8"?>
<formControlPr xmlns="http://schemas.microsoft.com/office/spreadsheetml/2009/9/main" objectType="CheckBox" checked="Checked" fmlaLink="C11" lockText="1" noThreeD="1"/>
</file>

<file path=xl/ctrlProps/ctrlProp3.xml><?xml version="1.0" encoding="utf-8"?>
<formControlPr xmlns="http://schemas.microsoft.com/office/spreadsheetml/2009/9/main" objectType="CheckBox" checked="Checked" fmlaLink="C12" lockText="1" noThreeD="1"/>
</file>

<file path=xl/ctrlProps/ctrlProp4.xml><?xml version="1.0" encoding="utf-8"?>
<formControlPr xmlns="http://schemas.microsoft.com/office/spreadsheetml/2009/9/main" objectType="CheckBox" fmlaLink="C13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717550</xdr:colOff>
          <xdr:row>8</xdr:row>
          <xdr:rowOff>190500</xdr:rowOff>
        </xdr:from>
        <xdr:to>
          <xdr:col>1</xdr:col>
          <xdr:colOff>920750</xdr:colOff>
          <xdr:row>9</xdr:row>
          <xdr:rowOff>203200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FF6600" mc:Ignorable="a14" a14:legacySpreadsheetColorIndex="53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717550</xdr:colOff>
          <xdr:row>9</xdr:row>
          <xdr:rowOff>203200</xdr:rowOff>
        </xdr:from>
        <xdr:to>
          <xdr:col>1</xdr:col>
          <xdr:colOff>920750</xdr:colOff>
          <xdr:row>11</xdr:row>
          <xdr:rowOff>6350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8000" mc:Ignorable="a14" a14:legacySpreadsheetColorIndex="17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717550</xdr:colOff>
          <xdr:row>10</xdr:row>
          <xdr:rowOff>196850</xdr:rowOff>
        </xdr:from>
        <xdr:to>
          <xdr:col>1</xdr:col>
          <xdr:colOff>920750</xdr:colOff>
          <xdr:row>12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723900</xdr:colOff>
          <xdr:row>11</xdr:row>
          <xdr:rowOff>209550</xdr:rowOff>
        </xdr:from>
        <xdr:to>
          <xdr:col>1</xdr:col>
          <xdr:colOff>927100</xdr:colOff>
          <xdr:row>13</xdr:row>
          <xdr:rowOff>12700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125B34-499D-4F67-87BF-4FB0BCF25C5D}" name="Table1" displayName="Table1" ref="A3:B6" totalsRowShown="0" headerRowDxfId="1" dataDxfId="13" headerRowBorderDxfId="5" tableBorderDxfId="6" totalsRowBorderDxfId="4">
  <autoFilter ref="A3:B6" xr:uid="{8F125B34-499D-4F67-87BF-4FB0BCF25C5D}">
    <filterColumn colId="0" hiddenButton="1"/>
    <filterColumn colId="1" hiddenButton="1"/>
  </autoFilter>
  <tableColumns count="2">
    <tableColumn id="1" xr3:uid="{7240EB3B-0ADD-4859-B851-E0BD067EECC5}" name="Loại phòng" dataDxfId="3"/>
    <tableColumn id="2" xr3:uid="{21D7F47E-E3C0-4198-8EBC-C8934D122681}" name="Đơn giá (đ)" dataDxfId="2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CC88BE-31E3-431F-8242-EFACA881D3F5}" name="Table2" displayName="Table2" ref="A9:C13" totalsRowShown="0" headerRowDxfId="7" headerRowBorderDxfId="11" tableBorderDxfId="12" totalsRowBorderDxfId="10">
  <autoFilter ref="A9:C13" xr:uid="{37CC88BE-31E3-431F-8242-EFACA881D3F5}"/>
  <tableColumns count="3">
    <tableColumn id="1" xr3:uid="{999082D6-32BF-4A72-82FF-6371F279C311}" name="Tên dịch vụ" dataDxfId="9"/>
    <tableColumn id="2" xr3:uid="{C6E526A0-78B8-4680-A16A-BB9AFE31F1B9}" name="Đơn giá (đ)" dataDxfId="0"/>
    <tableColumn id="3" xr3:uid="{5D25C904-9D88-43F5-BB22-0441E305CE3B}" name="Đơn vị" dataDxfId="8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B6198-2FD2-4AC4-8E4A-0227F89082E8}">
  <dimension ref="A1:E13"/>
  <sheetViews>
    <sheetView zoomScale="115" zoomScaleNormal="115" workbookViewId="0">
      <selection activeCell="F13" sqref="F13"/>
    </sheetView>
  </sheetViews>
  <sheetFormatPr defaultRowHeight="16.5" x14ac:dyDescent="0.35"/>
  <cols>
    <col min="1" max="1" width="20.23046875" customWidth="1"/>
    <col min="2" max="2" width="18.84375" customWidth="1"/>
    <col min="3" max="3" width="10.921875" customWidth="1"/>
  </cols>
  <sheetData>
    <row r="1" spans="1:5" ht="22.5" customHeight="1" x14ac:dyDescent="0.35">
      <c r="A1" s="5" t="s">
        <v>17</v>
      </c>
      <c r="B1" s="5"/>
      <c r="C1" s="5"/>
      <c r="D1" s="1"/>
      <c r="E1" s="1"/>
    </row>
    <row r="2" spans="1:5" x14ac:dyDescent="0.35">
      <c r="A2" s="3" t="s">
        <v>0</v>
      </c>
      <c r="B2" s="3" t="s">
        <v>1</v>
      </c>
      <c r="C2" s="3" t="s">
        <v>2</v>
      </c>
    </row>
    <row r="3" spans="1:5" x14ac:dyDescent="0.35">
      <c r="A3" t="s">
        <v>3</v>
      </c>
      <c r="B3" s="7">
        <v>60</v>
      </c>
      <c r="C3" s="2" t="s">
        <v>4</v>
      </c>
    </row>
    <row r="4" spans="1:5" x14ac:dyDescent="0.35">
      <c r="A4" t="s">
        <v>5</v>
      </c>
      <c r="B4" s="7">
        <v>3</v>
      </c>
      <c r="C4" s="2" t="s">
        <v>6</v>
      </c>
    </row>
    <row r="5" spans="1:5" x14ac:dyDescent="0.35">
      <c r="A5" t="s">
        <v>7</v>
      </c>
      <c r="B5" s="4">
        <v>60</v>
      </c>
    </row>
    <row r="6" spans="1:5" x14ac:dyDescent="0.35">
      <c r="A6" t="s">
        <v>8</v>
      </c>
      <c r="B6" s="8">
        <v>3</v>
      </c>
      <c r="C6" s="2" t="s">
        <v>11</v>
      </c>
    </row>
    <row r="7" spans="1:5" x14ac:dyDescent="0.35">
      <c r="A7" t="s">
        <v>9</v>
      </c>
      <c r="B7" s="8">
        <v>15</v>
      </c>
      <c r="C7" s="2" t="s">
        <v>11</v>
      </c>
    </row>
    <row r="8" spans="1:5" x14ac:dyDescent="0.35">
      <c r="A8" t="s">
        <v>10</v>
      </c>
      <c r="B8" s="8">
        <v>9</v>
      </c>
      <c r="C8" s="2" t="s">
        <v>11</v>
      </c>
    </row>
    <row r="9" spans="1:5" x14ac:dyDescent="0.35">
      <c r="A9" t="s">
        <v>12</v>
      </c>
    </row>
    <row r="10" spans="1:5" x14ac:dyDescent="0.35">
      <c r="A10" t="s">
        <v>13</v>
      </c>
      <c r="B10" s="6"/>
      <c r="C10" t="b">
        <v>1</v>
      </c>
    </row>
    <row r="11" spans="1:5" x14ac:dyDescent="0.35">
      <c r="A11" t="s">
        <v>14</v>
      </c>
      <c r="B11" s="6"/>
      <c r="C11" t="b">
        <v>1</v>
      </c>
    </row>
    <row r="12" spans="1:5" x14ac:dyDescent="0.35">
      <c r="A12" t="s">
        <v>15</v>
      </c>
      <c r="B12" s="6"/>
      <c r="C12" t="b">
        <v>1</v>
      </c>
    </row>
    <row r="13" spans="1:5" x14ac:dyDescent="0.35">
      <c r="A13" t="s">
        <v>16</v>
      </c>
      <c r="B13" s="6"/>
      <c r="C13" t="b">
        <v>0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 altText="">
                <anchor moveWithCells="1">
                  <from>
                    <xdr:col>1</xdr:col>
                    <xdr:colOff>717550</xdr:colOff>
                    <xdr:row>8</xdr:row>
                    <xdr:rowOff>190500</xdr:rowOff>
                  </from>
                  <to>
                    <xdr:col>1</xdr:col>
                    <xdr:colOff>920750</xdr:colOff>
                    <xdr:row>9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1</xdr:col>
                    <xdr:colOff>717550</xdr:colOff>
                    <xdr:row>9</xdr:row>
                    <xdr:rowOff>203200</xdr:rowOff>
                  </from>
                  <to>
                    <xdr:col>1</xdr:col>
                    <xdr:colOff>920750</xdr:colOff>
                    <xdr:row>11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1</xdr:col>
                    <xdr:colOff>717550</xdr:colOff>
                    <xdr:row>10</xdr:row>
                    <xdr:rowOff>196850</xdr:rowOff>
                  </from>
                  <to>
                    <xdr:col>1</xdr:col>
                    <xdr:colOff>920750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1</xdr:col>
                    <xdr:colOff>723900</xdr:colOff>
                    <xdr:row>11</xdr:row>
                    <xdr:rowOff>209550</xdr:rowOff>
                  </from>
                  <to>
                    <xdr:col>1</xdr:col>
                    <xdr:colOff>927100</xdr:colOff>
                    <xdr:row>13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67B2B-A48C-426D-8D95-553882552F4D}">
  <dimension ref="A1:C13"/>
  <sheetViews>
    <sheetView workbookViewId="0">
      <selection activeCell="A8" sqref="A8"/>
    </sheetView>
  </sheetViews>
  <sheetFormatPr defaultRowHeight="16.5" x14ac:dyDescent="0.35"/>
  <cols>
    <col min="1" max="1" width="23.61328125" customWidth="1"/>
    <col min="2" max="2" width="12.61328125" bestFit="1" customWidth="1"/>
    <col min="3" max="3" width="10.23046875" bestFit="1" customWidth="1"/>
  </cols>
  <sheetData>
    <row r="1" spans="1:3" x14ac:dyDescent="0.35">
      <c r="A1" s="5" t="s">
        <v>18</v>
      </c>
    </row>
    <row r="2" spans="1:3" x14ac:dyDescent="0.35">
      <c r="A2" s="9" t="s">
        <v>19</v>
      </c>
    </row>
    <row r="3" spans="1:3" x14ac:dyDescent="0.35">
      <c r="A3" s="19" t="s">
        <v>20</v>
      </c>
      <c r="B3" s="20" t="s">
        <v>24</v>
      </c>
    </row>
    <row r="4" spans="1:3" x14ac:dyDescent="0.35">
      <c r="A4" s="21" t="s">
        <v>21</v>
      </c>
      <c r="B4" s="22">
        <v>400000</v>
      </c>
    </row>
    <row r="5" spans="1:3" x14ac:dyDescent="0.35">
      <c r="A5" s="21" t="s">
        <v>22</v>
      </c>
      <c r="B5" s="22">
        <v>600000</v>
      </c>
    </row>
    <row r="6" spans="1:3" x14ac:dyDescent="0.35">
      <c r="A6" s="23" t="s">
        <v>23</v>
      </c>
      <c r="B6" s="24">
        <v>750000</v>
      </c>
    </row>
    <row r="8" spans="1:3" x14ac:dyDescent="0.35">
      <c r="A8" s="9" t="s">
        <v>25</v>
      </c>
    </row>
    <row r="9" spans="1:3" x14ac:dyDescent="0.35">
      <c r="A9" s="10" t="s">
        <v>26</v>
      </c>
      <c r="B9" s="11" t="s">
        <v>24</v>
      </c>
      <c r="C9" s="12" t="s">
        <v>27</v>
      </c>
    </row>
    <row r="10" spans="1:3" x14ac:dyDescent="0.35">
      <c r="A10" s="13" t="s">
        <v>13</v>
      </c>
      <c r="B10" s="14">
        <v>650000</v>
      </c>
      <c r="C10" s="15" t="s">
        <v>28</v>
      </c>
    </row>
    <row r="11" spans="1:3" x14ac:dyDescent="0.35">
      <c r="A11" s="13" t="s">
        <v>29</v>
      </c>
      <c r="B11" s="14">
        <v>150000</v>
      </c>
      <c r="C11" s="15" t="s">
        <v>30</v>
      </c>
    </row>
    <row r="12" spans="1:3" x14ac:dyDescent="0.35">
      <c r="A12" s="13" t="s">
        <v>15</v>
      </c>
      <c r="B12" s="14">
        <v>2000000</v>
      </c>
      <c r="C12" s="15" t="s">
        <v>30</v>
      </c>
    </row>
    <row r="13" spans="1:3" x14ac:dyDescent="0.35">
      <c r="A13" s="16" t="s">
        <v>16</v>
      </c>
      <c r="B13" s="17">
        <v>100000</v>
      </c>
      <c r="C13" s="18" t="s">
        <v>31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AA37F-B92C-4393-ABA5-A111D198568C}">
  <dimension ref="A1:E15"/>
  <sheetViews>
    <sheetView tabSelected="1" workbookViewId="0">
      <selection activeCell="D7" sqref="D7:D9"/>
    </sheetView>
  </sheetViews>
  <sheetFormatPr defaultRowHeight="16.5" x14ac:dyDescent="0.35"/>
  <cols>
    <col min="1" max="1" width="20.53515625" bestFit="1" customWidth="1"/>
    <col min="2" max="2" width="15.53515625" bestFit="1" customWidth="1"/>
    <col min="3" max="3" width="6.23046875" bestFit="1" customWidth="1"/>
    <col min="4" max="4" width="10.15234375" bestFit="1" customWidth="1"/>
    <col min="5" max="5" width="11.3828125" bestFit="1" customWidth="1"/>
  </cols>
  <sheetData>
    <row r="1" spans="1:5" x14ac:dyDescent="0.35">
      <c r="A1" t="s">
        <v>32</v>
      </c>
    </row>
    <row r="2" spans="1:5" x14ac:dyDescent="0.35">
      <c r="A2" s="25" t="s">
        <v>33</v>
      </c>
      <c r="B2" s="25" t="s">
        <v>34</v>
      </c>
      <c r="C2" s="25" t="s">
        <v>27</v>
      </c>
      <c r="D2" s="26" t="s">
        <v>24</v>
      </c>
      <c r="E2" s="27" t="s">
        <v>35</v>
      </c>
    </row>
    <row r="3" spans="1:5" x14ac:dyDescent="0.35">
      <c r="A3" s="25" t="s">
        <v>36</v>
      </c>
      <c r="B3" s="25">
        <f>'BAI2'!B3</f>
        <v>60</v>
      </c>
      <c r="C3" s="25"/>
      <c r="D3" s="14"/>
      <c r="E3" s="14"/>
    </row>
    <row r="4" spans="1:5" x14ac:dyDescent="0.35">
      <c r="A4" s="25" t="s">
        <v>37</v>
      </c>
      <c r="B4" s="25">
        <f>'BAI2'!B4</f>
        <v>3</v>
      </c>
      <c r="C4" s="25"/>
      <c r="D4" s="14"/>
      <c r="E4" s="14"/>
    </row>
    <row r="5" spans="1:5" x14ac:dyDescent="0.35">
      <c r="A5" s="25"/>
      <c r="B5" s="25"/>
      <c r="C5" s="25"/>
      <c r="D5" s="14"/>
      <c r="E5" s="14"/>
    </row>
    <row r="6" spans="1:5" x14ac:dyDescent="0.35">
      <c r="A6" s="25" t="s">
        <v>38</v>
      </c>
      <c r="B6" s="25"/>
      <c r="C6" s="25"/>
      <c r="D6" s="14"/>
      <c r="E6" s="14"/>
    </row>
    <row r="7" spans="1:5" x14ac:dyDescent="0.35">
      <c r="A7" s="25" t="s">
        <v>21</v>
      </c>
      <c r="B7" s="25"/>
      <c r="C7" s="25"/>
      <c r="D7" s="26">
        <f>VLOOKUP(A7,'BAI1'!$A$4:$B$6,2,FALSE)</f>
        <v>400000</v>
      </c>
      <c r="E7" s="27"/>
    </row>
    <row r="8" spans="1:5" x14ac:dyDescent="0.35">
      <c r="A8" s="25" t="s">
        <v>22</v>
      </c>
      <c r="B8" s="25"/>
      <c r="C8" s="25"/>
      <c r="D8" s="26">
        <f>VLOOKUP(A8,'BAI1'!$A$4:$B$6,2,FALSE)</f>
        <v>600000</v>
      </c>
      <c r="E8" s="27"/>
    </row>
    <row r="9" spans="1:5" x14ac:dyDescent="0.35">
      <c r="A9" s="25" t="s">
        <v>23</v>
      </c>
      <c r="B9" s="25"/>
      <c r="C9" s="25"/>
      <c r="D9" s="26">
        <f>VLOOKUP(A9,'BAI1'!$A$4:$B$6,2,FALSE)</f>
        <v>750000</v>
      </c>
      <c r="E9" s="27"/>
    </row>
    <row r="10" spans="1:5" x14ac:dyDescent="0.35">
      <c r="A10" s="25" t="s">
        <v>12</v>
      </c>
      <c r="B10" s="25"/>
      <c r="C10" s="25"/>
      <c r="D10" s="26"/>
      <c r="E10" s="27"/>
    </row>
    <row r="11" spans="1:5" x14ac:dyDescent="0.35">
      <c r="A11" s="25" t="s">
        <v>13</v>
      </c>
      <c r="B11" s="25"/>
      <c r="C11" s="25"/>
      <c r="D11" s="26"/>
      <c r="E11" s="27"/>
    </row>
    <row r="12" spans="1:5" x14ac:dyDescent="0.35">
      <c r="A12" s="25" t="s">
        <v>14</v>
      </c>
      <c r="B12" s="25"/>
      <c r="C12" s="25"/>
      <c r="D12" s="26"/>
      <c r="E12" s="27"/>
    </row>
    <row r="13" spans="1:5" x14ac:dyDescent="0.35">
      <c r="A13" s="25" t="s">
        <v>15</v>
      </c>
      <c r="B13" s="25"/>
      <c r="C13" s="25"/>
      <c r="D13" s="26"/>
      <c r="E13" s="27"/>
    </row>
    <row r="14" spans="1:5" x14ac:dyDescent="0.35">
      <c r="A14" s="25" t="s">
        <v>16</v>
      </c>
      <c r="B14" s="25"/>
      <c r="C14" s="25"/>
      <c r="D14" s="26"/>
      <c r="E14" s="27"/>
    </row>
    <row r="15" spans="1:5" x14ac:dyDescent="0.35">
      <c r="A15" s="14"/>
      <c r="B15" s="14"/>
      <c r="C15" s="14"/>
      <c r="D15" s="27" t="s">
        <v>39</v>
      </c>
      <c r="E15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BAI2</vt:lpstr>
      <vt:lpstr>BAI1</vt:lpstr>
      <vt:lpstr>BAI3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2025-11-19T03:59:36Z</dcterms:created>
  <dcterms:modified xsi:type="dcterms:W3CDTF">2026-01-19T17:06:42Z</dcterms:modified>
</cp:coreProperties>
</file>